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 Transaction" sheetId="1" r:id="rId5"/>
    <sheet state="visible" name="Expense Tracking" sheetId="2" r:id="rId6"/>
    <sheet state="visible" name="Expenses" sheetId="3" r:id="rId7"/>
    <sheet state="visible" name="Personal Budget" sheetId="4" r:id="rId8"/>
    <sheet state="visible" name="Banking Processes" sheetId="5" r:id="rId9"/>
    <sheet state="visible" name="Transaction Monitoring" sheetId="6" r:id="rId10"/>
    <sheet state="visible" name="Business Enablement" sheetId="7" r:id="rId11"/>
    <sheet state="visible" name="Timely Payments" sheetId="8" r:id="rId12"/>
    <sheet state="visible" name="Reflective Summary" sheetId="9" r:id="rId13"/>
  </sheets>
  <definedNames/>
  <calcPr/>
</workbook>
</file>

<file path=xl/sharedStrings.xml><?xml version="1.0" encoding="utf-8"?>
<sst xmlns="http://schemas.openxmlformats.org/spreadsheetml/2006/main" count="81" uniqueCount="78">
  <si>
    <t>Transaction Purpose</t>
  </si>
  <si>
    <t>Transaction Amount</t>
  </si>
  <si>
    <t>Specific Requirements or Constraints</t>
  </si>
  <si>
    <t>Buy Samsung Galaxy Z fold 5</t>
  </si>
  <si>
    <t xml:space="preserve">₹1,54,999	</t>
  </si>
  <si>
    <t>Must be latest model, original purchase (no EMI), includes warranty and accessories</t>
  </si>
  <si>
    <t>Vrindavan Vacation (3 Days)</t>
  </si>
  <si>
    <t>Includes travel (AC train/bus), mid-range hotel, meals, darshan, basic shopping</t>
  </si>
  <si>
    <t> Description</t>
  </si>
  <si>
    <t>Buy Dresses for Navratri (3–5 outfits)</t>
  </si>
  <si>
    <t>Ethnic wear suitable for 9 days, including chaniya choli, matching accessories</t>
  </si>
  <si>
    <t>This personal transaction plan outlines the spending and budgeting for a festive month including technology purchase, travel, self-care, and upskilling aligned with both personal and career growth goals.</t>
  </si>
  <si>
    <t>Order Food (1 month casual)</t>
  </si>
  <si>
    <t>Weekly 2–3 online orders, must include both snacks and meals</t>
  </si>
  <si>
    <t>Accessories &amp; Footwear (for Navratri)</t>
  </si>
  <si>
    <t>Includes earrings, bangles, footwear, bindis — matching outfits</t>
  </si>
  <si>
    <t>Gifts / Donations (temple or family)</t>
  </si>
  <si>
    <t>Voluntary; small donation at Vrindavan temple or gifts for mom/dad</t>
  </si>
  <si>
    <t>Self-care / Grooming (Salon, Spa)</t>
  </si>
  <si>
    <t>Facial, threading, hair spa before Navratri, must be done from trusted salon</t>
  </si>
  <si>
    <t>Skill Investment (Courses, books, tools)</t>
  </si>
  <si>
    <t>For upskilling or AI tools, must add value to career aspirations</t>
  </si>
  <si>
    <t>Income Sources</t>
  </si>
  <si>
    <t>Amount</t>
  </si>
  <si>
    <t>Source 1(JOB)</t>
  </si>
  <si>
    <t>Source 2(FREELANCING)</t>
  </si>
  <si>
    <t>Total Income</t>
  </si>
  <si>
    <t>Expenses</t>
  </si>
  <si>
    <t>Expense 1</t>
  </si>
  <si>
    <t>Expense 2</t>
  </si>
  <si>
    <t>Expense 3</t>
  </si>
  <si>
    <t>Expense 4</t>
  </si>
  <si>
    <t>Expense 5</t>
  </si>
  <si>
    <t>Expense 6</t>
  </si>
  <si>
    <t>Expense 7</t>
  </si>
  <si>
    <t>Expense 9</t>
  </si>
  <si>
    <t>Total Expenses</t>
  </si>
  <si>
    <t>Personal Budget</t>
  </si>
  <si>
    <t>Projected Expenses</t>
  </si>
  <si>
    <t>Savings</t>
  </si>
  <si>
    <t>Adjustments</t>
  </si>
  <si>
    <t>Account Review</t>
  </si>
  <si>
    <t>Status</t>
  </si>
  <si>
    <t>Accuracy Check</t>
  </si>
  <si>
    <t>All bank account details reviewed and verified as correct. No discrepancies found.</t>
  </si>
  <si>
    <t>Updates Made</t>
  </si>
  <si>
    <t>Updated income source values and corrected transaction entries based on monthly income and recent budget revisions.</t>
  </si>
  <si>
    <t>Transaction Monitoring</t>
  </si>
  <si>
    <t>Detected a logic break in the SUM function due to inconsistent string formatting in the currency column.</t>
  </si>
  <si>
    <t>Minor discrepancy found where currency symbol (₹) was used in a numeric cell, preventing correct SUM calculation. No other errors found.</t>
  </si>
  <si>
    <t>Refactored cell formatting to Standardized Numeric Types and performed a manual reconciliation to verify ledger balance.</t>
  </si>
  <si>
    <t>Removed currency symbol and reformatted all amount cells as “Number” to ensure accurate calculations. Verified totals after correction.</t>
  </si>
  <si>
    <t>Identified Inefficiencies</t>
  </si>
  <si>
    <t>Proposed Improvements</t>
  </si>
  <si>
    <t>Identified Data Type Mismatches; non-numeric string characters (₹) in numeric fields caused aggregation failures.</t>
  </si>
  <si>
    <t>Implemented Data Validation protocols and schema standardization to ensure computational integrity and automated calculation accuracy.</t>
  </si>
  <si>
    <t>Income and expenses not clearly categorized, making tracking difficult</t>
  </si>
  <si>
    <t>Create structured categories for each income source and expense type, and use SUMIF/SUM formulas to automate totals.</t>
  </si>
  <si>
    <t>Automatic Payments Setup</t>
  </si>
  <si>
    <t>Calendar Reminders</t>
  </si>
  <si>
    <t>Execute full settlement via UPI/Card (Zero-leverage approach).</t>
  </si>
  <si>
    <t>T-1 Pre-trade liquidity check: Verify ₹1,54,999 availability to prevent settlement failure.</t>
  </si>
  <si>
    <t>Automated wallet debits (Zomato/Swiggy) for low-latency processing.</t>
  </si>
  <si>
    <t>Weekly threshold audit: Review expenditure logs to ensure ₹1,000/week cap adherence.</t>
  </si>
  <si>
    <t>Direct-to-merchant booking settlement (Vendor Onboarding).</t>
  </si>
  <si>
    <t>T-10 Milestone check: Finalize travel/lodging data entries and verify booking confirmations.</t>
  </si>
  <si>
    <t>Salon booking before Navratri</t>
  </si>
  <si>
    <t>Reminder 3 days before Navratri starts</t>
  </si>
  <si>
    <t>Automated recurring subscription for AI-educational assets.</t>
  </si>
  <si>
    <t>Post-settlement ROI Review: Evaluate monthly learning goals vs. tool utility.</t>
  </si>
  <si>
    <t>Reflective Summary</t>
  </si>
  <si>
    <t>Details</t>
  </si>
  <si>
    <t>What worked well</t>
  </si>
  <si>
    <t>The implementation of a structured data model allowed for precise tracking of diverse income streams and expenditures. Using automated formulas for real-time reconciliation provided a clear view of capital adequacy, ensuring the feasibility of high-value settlements (e.g., the Samsung Z Fold 5 acquisition).</t>
  </si>
  <si>
    <t>Areas for Improvement</t>
  </si>
  <si>
    <t>Initial data ingestion was hampered by inconsistent field formatting. Future iterations will include a pre-defined data schema to prevent string-to-numeric calculation errors and streamline the allocation of discretionary capital.</t>
  </si>
  <si>
    <t>Key Insights and Lessons Learned</t>
  </si>
  <si>
    <t>This exercise highlighted the critical intersection of Data Integrity and Operational Risk. I learned that operational excellence in Wealth Management depends on robust 'front-to-back' discipline—where minor technical bugs in a ledger can lead to significant financial discrepancies if not caught by rigorous monitoring and exception-handling protocols.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</si>
</sst>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;[Red]&quot;₹&quot;\ \-#,##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u/>
      <sz val="12.0"/>
      <color rgb="FF000000"/>
      <name val="Quattrocento Sans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Font="1"/>
    <xf borderId="0" fillId="0" fontId="2" numFmtId="0" xfId="0" applyAlignment="1" applyFont="1">
      <alignment horizontal="left" vertical="center"/>
    </xf>
    <xf borderId="0" fillId="0" fontId="4" numFmtId="0" xfId="0" applyFont="1"/>
    <xf borderId="0" fillId="0" fontId="2" numFmtId="164" xfId="0" applyFont="1" applyNumberFormat="1"/>
    <xf borderId="1" fillId="0" fontId="1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14"/>
    <col customWidth="1" min="2" max="2" width="30.0"/>
    <col customWidth="1" min="3" max="3" width="93.43"/>
    <col customWidth="1" min="4" max="4" width="57.71"/>
    <col customWidth="1" min="5" max="26" width="8.86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4" t="s">
        <v>6</v>
      </c>
      <c r="B3" s="5">
        <v>12000.0</v>
      </c>
      <c r="C3" s="4" t="s">
        <v>7</v>
      </c>
      <c r="D3" s="6" t="s">
        <v>8</v>
      </c>
    </row>
    <row r="4">
      <c r="A4" s="4" t="s">
        <v>9</v>
      </c>
      <c r="B4" s="5">
        <v>6000.0</v>
      </c>
      <c r="C4" s="4" t="s">
        <v>10</v>
      </c>
      <c r="D4" s="7" t="s">
        <v>11</v>
      </c>
    </row>
    <row r="5">
      <c r="A5" s="4" t="s">
        <v>12</v>
      </c>
      <c r="B5" s="5">
        <v>4000.0</v>
      </c>
      <c r="C5" s="4" t="s">
        <v>13</v>
      </c>
    </row>
    <row r="6">
      <c r="A6" s="4" t="s">
        <v>14</v>
      </c>
      <c r="B6" s="5">
        <v>2000.0</v>
      </c>
      <c r="C6" s="4" t="s">
        <v>15</v>
      </c>
    </row>
    <row r="7">
      <c r="A7" s="4" t="s">
        <v>16</v>
      </c>
      <c r="B7" s="5">
        <v>2000.0</v>
      </c>
      <c r="C7" s="4" t="s">
        <v>17</v>
      </c>
    </row>
    <row r="8">
      <c r="A8" s="4" t="s">
        <v>18</v>
      </c>
      <c r="B8" s="5">
        <v>2000.0</v>
      </c>
      <c r="C8" s="4" t="s">
        <v>19</v>
      </c>
    </row>
    <row r="9">
      <c r="A9" s="4" t="s">
        <v>20</v>
      </c>
      <c r="B9" s="5">
        <v>2000.0</v>
      </c>
      <c r="C9" s="4" t="s">
        <v>21</v>
      </c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2.86"/>
    <col customWidth="1" min="3" max="26" width="8.86"/>
  </cols>
  <sheetData>
    <row r="1">
      <c r="A1" s="1" t="s">
        <v>22</v>
      </c>
      <c r="B1" s="1" t="s">
        <v>23</v>
      </c>
    </row>
    <row r="2">
      <c r="A2" s="8" t="s">
        <v>24</v>
      </c>
      <c r="B2" s="9">
        <v>180000.0</v>
      </c>
    </row>
    <row r="3">
      <c r="A3" s="8" t="s">
        <v>25</v>
      </c>
      <c r="B3" s="9">
        <v>70000.0</v>
      </c>
    </row>
    <row r="4">
      <c r="A4" s="8" t="s">
        <v>26</v>
      </c>
      <c r="B4" s="9">
        <f>SUM(B2:B3)</f>
        <v>250000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6.43"/>
    <col customWidth="1" min="3" max="26" width="8.71"/>
  </cols>
  <sheetData>
    <row r="1">
      <c r="A1" s="10" t="s">
        <v>27</v>
      </c>
      <c r="B1" s="10" t="s">
        <v>23</v>
      </c>
    </row>
    <row r="2">
      <c r="A2" s="8" t="s">
        <v>28</v>
      </c>
      <c r="B2" s="5">
        <v>154999.0</v>
      </c>
    </row>
    <row r="3">
      <c r="A3" s="8" t="s">
        <v>29</v>
      </c>
      <c r="B3" s="5">
        <v>12000.0</v>
      </c>
    </row>
    <row r="4">
      <c r="A4" s="8" t="s">
        <v>30</v>
      </c>
      <c r="B4" s="5">
        <v>6000.0</v>
      </c>
    </row>
    <row r="5">
      <c r="A5" s="8" t="s">
        <v>31</v>
      </c>
      <c r="B5" s="5">
        <v>4000.0</v>
      </c>
    </row>
    <row r="6">
      <c r="A6" s="8" t="s">
        <v>32</v>
      </c>
      <c r="B6" s="5">
        <v>2000.0</v>
      </c>
    </row>
    <row r="7">
      <c r="A7" s="8" t="s">
        <v>33</v>
      </c>
      <c r="B7" s="5">
        <v>2000.0</v>
      </c>
    </row>
    <row r="8">
      <c r="A8" s="8" t="s">
        <v>34</v>
      </c>
      <c r="B8" s="5">
        <v>2000.0</v>
      </c>
    </row>
    <row r="9">
      <c r="A9" s="8" t="s">
        <v>35</v>
      </c>
      <c r="B9" s="5">
        <v>2000.0</v>
      </c>
    </row>
    <row r="10">
      <c r="A10" s="8" t="s">
        <v>36</v>
      </c>
      <c r="B10" s="3">
        <f>SUM(B2:B9)</f>
        <v>184999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29"/>
    <col customWidth="1" min="3" max="26" width="8.86"/>
  </cols>
  <sheetData>
    <row r="1">
      <c r="A1" s="1" t="s">
        <v>37</v>
      </c>
      <c r="B1" s="1" t="s">
        <v>23</v>
      </c>
    </row>
    <row r="2">
      <c r="A2" s="8" t="s">
        <v>38</v>
      </c>
      <c r="B2" s="9">
        <v>184999.0</v>
      </c>
    </row>
    <row r="3">
      <c r="A3" s="8" t="s">
        <v>39</v>
      </c>
      <c r="B3" s="9">
        <v>40000.0</v>
      </c>
    </row>
    <row r="4">
      <c r="A4" s="8" t="s">
        <v>40</v>
      </c>
      <c r="B4" s="9">
        <v>25001.0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10.71"/>
    <col customWidth="1" min="3" max="26" width="8.86"/>
  </cols>
  <sheetData>
    <row r="1">
      <c r="A1" s="1" t="s">
        <v>41</v>
      </c>
      <c r="B1" s="1" t="s">
        <v>42</v>
      </c>
    </row>
    <row r="2">
      <c r="A2" s="8" t="s">
        <v>43</v>
      </c>
      <c r="B2" s="8" t="s">
        <v>44</v>
      </c>
    </row>
    <row r="3">
      <c r="A3" s="8" t="s">
        <v>45</v>
      </c>
      <c r="B3" s="8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6.86"/>
    <col customWidth="1" min="2" max="2" width="123.57"/>
    <col customWidth="1" min="3" max="26" width="8.86"/>
  </cols>
  <sheetData>
    <row r="1">
      <c r="A1" s="1" t="s">
        <v>47</v>
      </c>
      <c r="B1" s="1" t="s">
        <v>42</v>
      </c>
    </row>
    <row r="2">
      <c r="A2" s="11" t="s">
        <v>48</v>
      </c>
      <c r="B2" s="8" t="s">
        <v>49</v>
      </c>
    </row>
    <row r="3">
      <c r="A3" s="11" t="s">
        <v>50</v>
      </c>
      <c r="B3" s="8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8.86"/>
    <col customWidth="1" min="2" max="2" width="107.29"/>
    <col customWidth="1" min="3" max="26" width="8.86"/>
  </cols>
  <sheetData>
    <row r="1">
      <c r="A1" s="1" t="s">
        <v>52</v>
      </c>
      <c r="B1" s="1" t="s">
        <v>53</v>
      </c>
    </row>
    <row r="2" ht="18.0" customHeight="1">
      <c r="A2" s="11" t="s">
        <v>54</v>
      </c>
      <c r="B2" s="12" t="s">
        <v>55</v>
      </c>
    </row>
    <row r="3">
      <c r="A3" s="13" t="s">
        <v>56</v>
      </c>
      <c r="B3" s="13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14"/>
    <col customWidth="1" min="2" max="2" width="57.86"/>
    <col customWidth="1" min="3" max="26" width="8.86"/>
  </cols>
  <sheetData>
    <row r="1">
      <c r="A1" s="1" t="s">
        <v>58</v>
      </c>
      <c r="B1" s="1" t="s">
        <v>59</v>
      </c>
    </row>
    <row r="2">
      <c r="A2" s="11" t="s">
        <v>60</v>
      </c>
      <c r="B2" s="11" t="s">
        <v>61</v>
      </c>
    </row>
    <row r="3">
      <c r="A3" s="11" t="s">
        <v>62</v>
      </c>
      <c r="B3" s="11" t="s">
        <v>63</v>
      </c>
    </row>
    <row r="4">
      <c r="A4" s="11" t="s">
        <v>64</v>
      </c>
      <c r="B4" s="11" t="s">
        <v>65</v>
      </c>
    </row>
    <row r="5">
      <c r="A5" s="14" t="s">
        <v>66</v>
      </c>
      <c r="B5" s="8" t="s">
        <v>67</v>
      </c>
    </row>
    <row r="6">
      <c r="A6" s="11" t="s">
        <v>68</v>
      </c>
      <c r="B6" s="11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144.0"/>
    <col customWidth="1" min="3" max="26" width="8.86"/>
  </cols>
  <sheetData>
    <row r="1">
      <c r="A1" s="1" t="s">
        <v>70</v>
      </c>
      <c r="B1" s="1" t="s">
        <v>71</v>
      </c>
    </row>
    <row r="2">
      <c r="A2" s="11" t="s">
        <v>72</v>
      </c>
      <c r="B2" s="11" t="s">
        <v>73</v>
      </c>
    </row>
    <row r="3">
      <c r="A3" s="8" t="s">
        <v>74</v>
      </c>
      <c r="B3" s="11" t="s">
        <v>75</v>
      </c>
    </row>
    <row r="4">
      <c r="A4" s="8" t="s">
        <v>76</v>
      </c>
      <c r="B4" s="1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